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uofnebraska-my.sharepoint.com/personal/07334281_nebraska_edu/Documents/"/>
    </mc:Choice>
  </mc:AlternateContent>
  <xr:revisionPtr revIDLastSave="0" documentId="8_{E6C60029-AD30-4C7B-A205-9E1A90A13E2B}" xr6:coauthVersionLast="47" xr6:coauthVersionMax="47" xr10:uidLastSave="{00000000-0000-0000-0000-000000000000}"/>
  <bookViews>
    <workbookView xWindow="-120" yWindow="-120" windowWidth="38640" windowHeight="2112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 i="11" l="1"/>
  <c r="E12" i="11"/>
  <c r="E11" i="11"/>
  <c r="F9" i="11"/>
  <c r="F10" i="11"/>
  <c r="F11" i="11"/>
  <c r="F12" i="11"/>
  <c r="E10" i="11"/>
  <c r="E9" i="11"/>
  <c r="E25" i="11"/>
  <c r="F19" i="11"/>
  <c r="F18" i="11"/>
  <c r="E18" i="11"/>
  <c r="F29" i="11"/>
  <c r="E29" i="11"/>
  <c r="E28" i="11"/>
  <c r="F27" i="11"/>
  <c r="E27" i="11"/>
  <c r="F26" i="11"/>
  <c r="E26" i="11"/>
  <c r="Q1" i="11"/>
  <c r="H7" i="11"/>
  <c r="F25" i="11" l="1"/>
  <c r="E20" i="11"/>
  <c r="E15" i="11"/>
  <c r="E14" i="11"/>
  <c r="F14" i="11" s="1"/>
  <c r="F20" i="11" l="1"/>
  <c r="E22" i="11" s="1"/>
  <c r="E21" i="11"/>
  <c r="F21" i="11" s="1"/>
  <c r="F15" i="11"/>
  <c r="E16" i="11" s="1"/>
  <c r="F16" i="11" s="1"/>
  <c r="F22" i="11"/>
  <c r="E23" i="11" s="1"/>
  <c r="F23" i="11" s="1"/>
  <c r="I5" i="11"/>
  <c r="H31" i="11"/>
  <c r="H30" i="11"/>
  <c r="H24" i="11"/>
  <c r="H17" i="11"/>
  <c r="H13" i="11"/>
  <c r="H8" i="11"/>
  <c r="H18" i="11" l="1"/>
  <c r="H19" i="11"/>
  <c r="H9" i="11"/>
  <c r="I6" i="11"/>
  <c r="H29" i="11" l="1"/>
  <c r="F28" i="11"/>
  <c r="H28" i="11" s="1"/>
  <c r="H25" i="11"/>
  <c r="H23" i="11"/>
  <c r="H10" i="11"/>
  <c r="H20" i="11"/>
  <c r="H14" i="11"/>
  <c r="J5" i="11"/>
  <c r="K5" i="11" s="1"/>
  <c r="L5" i="11" s="1"/>
  <c r="M5" i="11" s="1"/>
  <c r="N5" i="11" s="1"/>
  <c r="O5" i="11" s="1"/>
  <c r="P5" i="11" s="1"/>
  <c r="I4" i="11"/>
  <c r="H26" i="11" l="1"/>
  <c r="H27" i="11"/>
  <c r="H22" i="11"/>
  <c r="H15" i="11"/>
  <c r="H11" i="11"/>
  <c r="H12" i="11"/>
  <c r="P4" i="11"/>
  <c r="Q5" i="11"/>
  <c r="R5" i="11" s="1"/>
  <c r="S5" i="11" s="1"/>
  <c r="T5" i="11" s="1"/>
  <c r="U5" i="11" s="1"/>
  <c r="V5" i="11" s="1"/>
  <c r="W5" i="11" s="1"/>
  <c r="J6" i="11"/>
  <c r="H16" i="11" l="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<sst xmlns="http://schemas.openxmlformats.org/spreadsheetml/2006/main" count="65" uniqueCount="50">
  <si>
    <t>CIVE202  Project 2</t>
  </si>
  <si>
    <t>Project start:</t>
  </si>
  <si>
    <t>Bryce Ripley, Brock Hoover, Ryan Kramer</t>
  </si>
  <si>
    <t>Display week:</t>
  </si>
  <si>
    <t>SIMPLE GANTT CHART by Vertex42.com</t>
  </si>
  <si>
    <t>https://www.vertex42.com/ExcelTemplates/simple-gantt-chart.html</t>
  </si>
  <si>
    <t>TASK</t>
  </si>
  <si>
    <t>ASSIGNED TO</t>
  </si>
  <si>
    <t>PROGRESS</t>
  </si>
  <si>
    <t>START</t>
  </si>
  <si>
    <t>END</t>
  </si>
  <si>
    <t xml:space="preserve">Do not delete this row. This row is hidden to preserve a formula that is used to highlight the current day within the project schedule. </t>
  </si>
  <si>
    <t xml:space="preserve">GitHub </t>
  </si>
  <si>
    <t>GitHub Repository</t>
  </si>
  <si>
    <t>Brock</t>
  </si>
  <si>
    <t>Repository</t>
  </si>
  <si>
    <t>Code Data</t>
  </si>
  <si>
    <t>Bryce</t>
  </si>
  <si>
    <t>README</t>
  </si>
  <si>
    <t>Project Management</t>
  </si>
  <si>
    <t>Gannt Chart</t>
  </si>
  <si>
    <t>Brock, Bryce</t>
  </si>
  <si>
    <t>Scope of Work</t>
  </si>
  <si>
    <t>Technical Implementation</t>
  </si>
  <si>
    <t>Research Mix Designs</t>
  </si>
  <si>
    <t>* Code - Translate Excel Logic</t>
  </si>
  <si>
    <t>* Code - Implement Sequential User Inputs</t>
  </si>
  <si>
    <t>* Code - Generate a Final Mix Design Output</t>
  </si>
  <si>
    <t>* Code - Prepare and Evaluate Four Concrete Mix Scenarios</t>
  </si>
  <si>
    <t>Annotated Code Document</t>
  </si>
  <si>
    <t>Written Technical Report</t>
  </si>
  <si>
    <t>Brock,  Bryce</t>
  </si>
  <si>
    <t>* Introduction/Background</t>
  </si>
  <si>
    <t>* Methods</t>
  </si>
  <si>
    <t>* Results/Discussion</t>
  </si>
  <si>
    <t>* References</t>
  </si>
  <si>
    <t>Insert new rows ABOVE this one</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</si>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</sst>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0"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13">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4" fillId="0" borderId="0" xfId="0" applyFont="1"/>
    <xf numFmtId="0" fontId="15" fillId="0" borderId="0" xfId="0" applyFont="1"/>
    <xf numFmtId="0" fontId="16"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9" fillId="12" borderId="20" xfId="0" applyNumberFormat="1" applyFont="1" applyFill="1" applyBorder="1" applyAlignment="1">
      <alignment horizontal="center" vertical="center"/>
    </xf>
    <xf numFmtId="167" fontId="19" fillId="12" borderId="18" xfId="0" applyNumberFormat="1" applyFont="1" applyFill="1" applyBorder="1" applyAlignment="1">
      <alignment horizontal="center" vertical="center"/>
    </xf>
    <xf numFmtId="167" fontId="19" fillId="12" borderId="19" xfId="0" applyNumberFormat="1" applyFont="1" applyFill="1" applyBorder="1" applyAlignment="1">
      <alignment horizontal="center" vertical="center"/>
    </xf>
    <xf numFmtId="0" fontId="20" fillId="2" borderId="17" xfId="0" applyFont="1" applyFill="1" applyBorder="1" applyAlignment="1">
      <alignment horizontal="center" vertical="center" shrinkToFit="1"/>
    </xf>
    <xf numFmtId="0" fontId="20" fillId="2" borderId="14" xfId="0" applyFont="1" applyFill="1" applyBorder="1" applyAlignment="1">
      <alignment horizontal="center" vertical="center" shrinkToFit="1"/>
    </xf>
    <xf numFmtId="0" fontId="20" fillId="2" borderId="15" xfId="0" applyFont="1" applyFill="1" applyBorder="1" applyAlignment="1">
      <alignment horizontal="center" vertical="center" shrinkToFit="1"/>
    </xf>
    <xf numFmtId="0" fontId="17" fillId="0" borderId="0" xfId="0" applyFont="1"/>
    <xf numFmtId="0" fontId="17" fillId="0" borderId="0" xfId="0" applyFont="1" applyAlignment="1">
      <alignment wrapText="1"/>
    </xf>
    <xf numFmtId="0" fontId="4" fillId="0" borderId="3" xfId="0" applyFont="1" applyBorder="1" applyAlignment="1">
      <alignment vertical="center"/>
    </xf>
    <xf numFmtId="0" fontId="21" fillId="6" borderId="0" xfId="0" applyFont="1" applyFill="1" applyAlignment="1">
      <alignment horizontal="left" vertical="center" indent="1"/>
    </xf>
    <xf numFmtId="0" fontId="17" fillId="6" borderId="0" xfId="11" applyFont="1" applyFill="1" applyBorder="1" applyAlignment="1">
      <alignment vertical="center"/>
    </xf>
    <xf numFmtId="9" fontId="1" fillId="6" borderId="0" xfId="2" applyFont="1" applyFill="1" applyBorder="1" applyAlignment="1">
      <alignment horizontal="center" vertical="center"/>
    </xf>
    <xf numFmtId="164" fontId="17"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7" fillId="3" borderId="6" xfId="12" applyFont="1" applyFill="1" applyBorder="1">
      <alignment horizontal="left" vertical="center" indent="2"/>
    </xf>
    <xf numFmtId="0" fontId="17" fillId="3" borderId="6" xfId="11" applyFont="1" applyFill="1" applyBorder="1" applyAlignment="1">
      <alignment vertical="center"/>
    </xf>
    <xf numFmtId="9" fontId="1" fillId="3" borderId="6" xfId="2" applyFont="1" applyFill="1" applyBorder="1" applyAlignment="1">
      <alignment horizontal="center" vertical="center"/>
    </xf>
    <xf numFmtId="164" fontId="17" fillId="3" borderId="6" xfId="10" applyFont="1" applyFill="1" applyBorder="1">
      <alignment horizontal="center" vertical="center"/>
    </xf>
    <xf numFmtId="0" fontId="4" fillId="0" borderId="4" xfId="0" applyFont="1" applyBorder="1" applyAlignment="1">
      <alignment vertical="center"/>
    </xf>
    <xf numFmtId="0" fontId="17" fillId="3" borderId="7" xfId="12" applyFont="1" applyFill="1" applyBorder="1">
      <alignment horizontal="left" vertical="center" indent="2"/>
    </xf>
    <xf numFmtId="0" fontId="17" fillId="3" borderId="7" xfId="11" applyFont="1" applyFill="1" applyBorder="1" applyAlignment="1">
      <alignment vertical="center"/>
    </xf>
    <xf numFmtId="164" fontId="17" fillId="3" borderId="7" xfId="10" applyFont="1" applyFill="1" applyBorder="1">
      <alignment horizontal="center" vertical="center"/>
    </xf>
    <xf numFmtId="0" fontId="4" fillId="0" borderId="4" xfId="0" applyFont="1" applyBorder="1" applyAlignment="1">
      <alignment horizontal="right" vertical="center"/>
    </xf>
    <xf numFmtId="0" fontId="21" fillId="7" borderId="0" xfId="0" applyFont="1" applyFill="1" applyAlignment="1">
      <alignment horizontal="left" vertical="center" indent="1"/>
    </xf>
    <xf numFmtId="0" fontId="17" fillId="7" borderId="0" xfId="11" applyFont="1" applyFill="1" applyBorder="1" applyAlignment="1">
      <alignment vertical="center"/>
    </xf>
    <xf numFmtId="9" fontId="1" fillId="7" borderId="0" xfId="2" applyFont="1" applyFill="1" applyBorder="1" applyAlignment="1">
      <alignment horizontal="center" vertical="center"/>
    </xf>
    <xf numFmtId="164" fontId="17"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7" fillId="4" borderId="5" xfId="12" applyFont="1" applyFill="1" applyBorder="1">
      <alignment horizontal="left" vertical="center" indent="2"/>
    </xf>
    <xf numFmtId="0" fontId="17" fillId="4" borderId="5" xfId="11" applyFont="1" applyFill="1" applyBorder="1" applyAlignment="1">
      <alignment vertical="center"/>
    </xf>
    <xf numFmtId="9" fontId="1" fillId="4" borderId="5" xfId="2" applyFont="1" applyFill="1" applyBorder="1" applyAlignment="1">
      <alignment horizontal="center" vertical="center"/>
    </xf>
    <xf numFmtId="164" fontId="17" fillId="4" borderId="5" xfId="10" applyFont="1" applyFill="1" applyBorder="1">
      <alignment horizontal="center" vertical="center"/>
    </xf>
    <xf numFmtId="0" fontId="21" fillId="8" borderId="0" xfId="0" applyFont="1" applyFill="1" applyAlignment="1">
      <alignment horizontal="left" vertical="center" indent="1"/>
    </xf>
    <xf numFmtId="0" fontId="17" fillId="8" borderId="0" xfId="11" applyFont="1" applyFill="1" applyBorder="1" applyAlignment="1">
      <alignment vertical="center"/>
    </xf>
    <xf numFmtId="9" fontId="1" fillId="8" borderId="0" xfId="2" applyFont="1" applyFill="1" applyBorder="1" applyAlignment="1">
      <alignment horizontal="center" vertical="center"/>
    </xf>
    <xf numFmtId="164" fontId="17"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7" fillId="5" borderId="8" xfId="12" applyFont="1" applyFill="1" applyBorder="1">
      <alignment horizontal="left" vertical="center" indent="2"/>
    </xf>
    <xf numFmtId="0" fontId="17" fillId="5" borderId="8" xfId="11" applyFont="1" applyFill="1" applyBorder="1" applyAlignment="1">
      <alignment vertical="center"/>
    </xf>
    <xf numFmtId="9" fontId="1" fillId="5" borderId="8" xfId="2" applyFont="1" applyFill="1" applyBorder="1" applyAlignment="1">
      <alignment horizontal="center" vertical="center"/>
    </xf>
    <xf numFmtId="164" fontId="17" fillId="5" borderId="8" xfId="10" applyFont="1" applyFill="1" applyBorder="1">
      <alignment horizontal="center" vertical="center"/>
    </xf>
    <xf numFmtId="0" fontId="21" fillId="9" borderId="0" xfId="0" applyFont="1" applyFill="1" applyAlignment="1">
      <alignment horizontal="left" vertical="center" indent="1"/>
    </xf>
    <xf numFmtId="0" fontId="17" fillId="9" borderId="0" xfId="11" applyFont="1" applyFill="1" applyBorder="1" applyAlignment="1">
      <alignment vertical="center"/>
    </xf>
    <xf numFmtId="9" fontId="1" fillId="9" borderId="0" xfId="2" applyFont="1" applyFill="1" applyBorder="1" applyAlignment="1">
      <alignment horizontal="center" vertical="center"/>
    </xf>
    <xf numFmtId="164" fontId="17"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7" fillId="10" borderId="9" xfId="12" applyFont="1" applyFill="1" applyBorder="1">
      <alignment horizontal="left" vertical="center" indent="2"/>
    </xf>
    <xf numFmtId="0" fontId="17" fillId="10" borderId="9" xfId="11" applyFont="1" applyFill="1" applyBorder="1" applyAlignment="1">
      <alignment vertical="center"/>
    </xf>
    <xf numFmtId="9" fontId="1" fillId="10" borderId="9" xfId="2" applyFont="1" applyFill="1" applyBorder="1" applyAlignment="1">
      <alignment horizontal="center" vertical="center"/>
    </xf>
    <xf numFmtId="164" fontId="17" fillId="10" borderId="9" xfId="10" applyFont="1" applyFill="1" applyBorder="1">
      <alignment horizontal="center" vertical="center"/>
    </xf>
    <xf numFmtId="0" fontId="17" fillId="0" borderId="0" xfId="12" applyFont="1" applyBorder="1">
      <alignment horizontal="left" vertical="center" indent="2"/>
    </xf>
    <xf numFmtId="0" fontId="17" fillId="0" borderId="0" xfId="11" applyFont="1" applyBorder="1" applyAlignment="1">
      <alignment vertical="center"/>
    </xf>
    <xf numFmtId="9" fontId="1" fillId="0" borderId="0" xfId="2" applyFont="1" applyBorder="1" applyAlignment="1">
      <alignment horizontal="center" vertical="center"/>
    </xf>
    <xf numFmtId="164" fontId="17" fillId="0" borderId="0" xfId="10" applyFont="1" applyBorder="1">
      <alignment horizontal="center" vertical="center"/>
    </xf>
    <xf numFmtId="0" fontId="22" fillId="2" borderId="0" xfId="0" applyFont="1" applyFill="1" applyAlignment="1">
      <alignment horizontal="left" vertical="center" indent="1"/>
    </xf>
    <xf numFmtId="0" fontId="22" fillId="2" borderId="0" xfId="0" applyFont="1" applyFill="1" applyAlignment="1">
      <alignment vertical="center"/>
    </xf>
    <xf numFmtId="9" fontId="1" fillId="2" borderId="0" xfId="2" applyFont="1" applyFill="1" applyBorder="1" applyAlignment="1">
      <alignment horizontal="center" vertical="center"/>
    </xf>
    <xf numFmtId="164" fontId="23"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9" fillId="0" borderId="0" xfId="0" applyFont="1" applyAlignment="1">
      <alignment horizontal="left" vertical="center" indent="1"/>
    </xf>
    <xf numFmtId="0" fontId="3" fillId="0" borderId="0" xfId="0" applyFont="1" applyAlignment="1">
      <alignment horizontal="left" vertical="top" indent="1"/>
    </xf>
    <xf numFmtId="0" fontId="24" fillId="0" borderId="0" xfId="0" applyFont="1" applyAlignment="1">
      <alignment horizontal="left" vertical="center" indent="1"/>
    </xf>
    <xf numFmtId="0" fontId="28" fillId="0" borderId="0" xfId="0" applyFont="1" applyAlignment="1">
      <alignment horizontal="left" vertical="top" wrapText="1" indent="1"/>
    </xf>
    <xf numFmtId="0" fontId="0" fillId="0" borderId="0" xfId="0" applyAlignment="1">
      <alignment horizontal="left" vertical="top" wrapText="1" indent="1"/>
    </xf>
    <xf numFmtId="0" fontId="29" fillId="0" borderId="0" xfId="1" applyFont="1" applyAlignment="1" applyProtection="1">
      <alignment horizontal="left" vertical="top" indent="1"/>
    </xf>
    <xf numFmtId="0" fontId="1" fillId="0" borderId="0" xfId="0" applyFont="1" applyAlignment="1">
      <alignment horizontal="left" vertical="top" indent="1"/>
    </xf>
    <xf numFmtId="0" fontId="24" fillId="0" borderId="0" xfId="6" applyFont="1" applyAlignment="1">
      <alignment horizontal="center" vertical="center"/>
    </xf>
    <xf numFmtId="0" fontId="27" fillId="0" borderId="0" xfId="5" applyFont="1" applyAlignment="1">
      <alignment horizontal="center"/>
    </xf>
    <xf numFmtId="166" fontId="17" fillId="2" borderId="13" xfId="0" applyNumberFormat="1" applyFont="1" applyFill="1" applyBorder="1" applyAlignment="1">
      <alignment horizontal="center" vertical="center" wrapText="1"/>
    </xf>
    <xf numFmtId="166" fontId="17" fillId="2" borderId="19" xfId="0" applyNumberFormat="1" applyFont="1" applyFill="1" applyBorder="1" applyAlignment="1">
      <alignment horizontal="center" vertical="center" wrapText="1"/>
    </xf>
    <xf numFmtId="166" fontId="17" fillId="2" borderId="18" xfId="0" applyNumberFormat="1" applyFont="1" applyFill="1" applyBorder="1" applyAlignment="1">
      <alignment horizontal="center" vertical="center" wrapText="1"/>
    </xf>
    <xf numFmtId="0" fontId="18" fillId="11" borderId="16" xfId="0" applyFont="1" applyFill="1" applyBorder="1" applyAlignment="1">
      <alignment horizontal="center" vertical="center"/>
    </xf>
    <xf numFmtId="0" fontId="4" fillId="2" borderId="21" xfId="0" applyFont="1" applyFill="1" applyBorder="1"/>
    <xf numFmtId="0" fontId="25" fillId="0" borderId="0" xfId="0" applyFont="1" applyAlignment="1">
      <alignment horizontal="left"/>
    </xf>
    <xf numFmtId="0" fontId="26" fillId="0" borderId="0" xfId="0" applyFont="1"/>
    <xf numFmtId="165" fontId="25" fillId="0" borderId="0" xfId="9" applyFont="1" applyBorder="1" applyAlignment="1">
      <alignment horizontal="left"/>
    </xf>
    <xf numFmtId="0" fontId="24" fillId="0" borderId="0" xfId="8" applyFont="1" applyAlignment="1">
      <alignment horizontal="left"/>
    </xf>
    <xf numFmtId="0" fontId="4" fillId="0" borderId="0" xfId="0" applyFont="1"/>
    <xf numFmtId="0" fontId="13" fillId="0" borderId="0" xfId="3" applyAlignment="1">
      <alignment wrapText="1"/>
    </xf>
    <xf numFmtId="0" fontId="18"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18" fillId="11" borderId="16" xfId="0" applyFont="1" applyFill="1" applyBorder="1" applyAlignment="1">
      <alignment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4"/>
  <sheetViews>
    <sheetView showGridLines="0" tabSelected="1" showRuler="0" topLeftCell="A5" zoomScale="80" zoomScaleNormal="100" zoomScalePageLayoutView="70" workbookViewId="0">
      <selection activeCell="B27" sqref="B27"/>
    </sheetView>
  </sheetViews>
  <sheetFormatPr defaultColWidth="8.75" defaultRowHeight="30" customHeight="1" x14ac:dyDescent="0.2"/>
  <cols>
    <col min="1" max="1" width="2.75" style="13" customWidth="1"/>
    <col min="2" max="2" width="49.25" customWidth="1"/>
    <col min="3" max="3" width="16.75"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x14ac:dyDescent="1.1000000000000001">
      <c r="A1" s="14"/>
      <c r="B1" s="98" t="s">
        <v>0</v>
      </c>
      <c r="C1" s="98"/>
      <c r="D1" s="98"/>
      <c r="E1" s="98"/>
      <c r="F1" s="98"/>
      <c r="H1" s="1"/>
      <c r="I1" s="107" t="s">
        <v>1</v>
      </c>
      <c r="J1" s="108"/>
      <c r="K1" s="108"/>
      <c r="L1" s="108"/>
      <c r="M1" s="108"/>
      <c r="N1" s="108"/>
      <c r="O1" s="108"/>
      <c r="P1" s="19"/>
      <c r="Q1" s="106">
        <f>46059</f>
        <v>46059</v>
      </c>
      <c r="R1" s="105"/>
      <c r="S1" s="105"/>
      <c r="T1" s="105"/>
      <c r="U1" s="105"/>
      <c r="V1" s="105"/>
      <c r="W1" s="105"/>
      <c r="X1" s="105"/>
      <c r="Y1" s="105"/>
      <c r="Z1" s="105"/>
    </row>
    <row r="2" spans="1:64" ht="30" customHeight="1" x14ac:dyDescent="0.5">
      <c r="B2" s="97" t="s">
        <v>2</v>
      </c>
      <c r="C2" s="97"/>
      <c r="D2" s="97"/>
      <c r="E2" s="97"/>
      <c r="F2" s="18"/>
      <c r="I2" s="107" t="s">
        <v>3</v>
      </c>
      <c r="J2" s="108"/>
      <c r="K2" s="108"/>
      <c r="L2" s="108"/>
      <c r="M2" s="108"/>
      <c r="N2" s="108"/>
      <c r="O2" s="108"/>
      <c r="P2" s="19"/>
      <c r="Q2" s="104">
        <v>1</v>
      </c>
      <c r="R2" s="105"/>
      <c r="S2" s="105"/>
      <c r="T2" s="105"/>
      <c r="U2" s="105"/>
      <c r="V2" s="105"/>
      <c r="W2" s="105"/>
      <c r="X2" s="105"/>
      <c r="Y2" s="105"/>
      <c r="Z2" s="105"/>
    </row>
    <row r="3" spans="1:64" s="21" customFormat="1" ht="30" customHeight="1" x14ac:dyDescent="0.25">
      <c r="A3" s="13"/>
      <c r="B3" s="20" t="s">
        <v>4</v>
      </c>
      <c r="D3" s="22"/>
      <c r="E3" s="23"/>
    </row>
    <row r="4" spans="1:64" s="21" customFormat="1" ht="30" customHeight="1" x14ac:dyDescent="0.2">
      <c r="A4" s="14"/>
      <c r="B4" s="24" t="s">
        <v>5</v>
      </c>
      <c r="E4" s="25"/>
      <c r="I4" s="101">
        <f>I5</f>
        <v>46055</v>
      </c>
      <c r="J4" s="99"/>
      <c r="K4" s="99"/>
      <c r="L4" s="99"/>
      <c r="M4" s="99"/>
      <c r="N4" s="99"/>
      <c r="O4" s="99"/>
      <c r="P4" s="99">
        <f>P5</f>
        <v>46062</v>
      </c>
      <c r="Q4" s="99"/>
      <c r="R4" s="99"/>
      <c r="S4" s="99"/>
      <c r="T4" s="99"/>
      <c r="U4" s="99"/>
      <c r="V4" s="99"/>
      <c r="W4" s="99">
        <f>W5</f>
        <v>46069</v>
      </c>
      <c r="X4" s="99"/>
      <c r="Y4" s="99"/>
      <c r="Z4" s="99"/>
      <c r="AA4" s="99"/>
      <c r="AB4" s="99"/>
      <c r="AC4" s="99"/>
      <c r="AD4" s="99">
        <f>AD5</f>
        <v>46076</v>
      </c>
      <c r="AE4" s="99"/>
      <c r="AF4" s="99"/>
      <c r="AG4" s="99"/>
      <c r="AH4" s="99"/>
      <c r="AI4" s="99"/>
      <c r="AJ4" s="99"/>
      <c r="AK4" s="99">
        <f>AK5</f>
        <v>46083</v>
      </c>
      <c r="AL4" s="99"/>
      <c r="AM4" s="99"/>
      <c r="AN4" s="99"/>
      <c r="AO4" s="99"/>
      <c r="AP4" s="99"/>
      <c r="AQ4" s="99"/>
      <c r="AR4" s="99">
        <f>AR5</f>
        <v>46090</v>
      </c>
      <c r="AS4" s="99"/>
      <c r="AT4" s="99"/>
      <c r="AU4" s="99"/>
      <c r="AV4" s="99"/>
      <c r="AW4" s="99"/>
      <c r="AX4" s="99"/>
      <c r="AY4" s="99">
        <f>AY5</f>
        <v>46097</v>
      </c>
      <c r="AZ4" s="99"/>
      <c r="BA4" s="99"/>
      <c r="BB4" s="99"/>
      <c r="BC4" s="99"/>
      <c r="BD4" s="99"/>
      <c r="BE4" s="99"/>
      <c r="BF4" s="99">
        <f>BF5</f>
        <v>46104</v>
      </c>
      <c r="BG4" s="99"/>
      <c r="BH4" s="99"/>
      <c r="BI4" s="99"/>
      <c r="BJ4" s="99"/>
      <c r="BK4" s="99"/>
      <c r="BL4" s="100"/>
    </row>
    <row r="5" spans="1:64" s="21" customFormat="1" ht="15" customHeight="1" x14ac:dyDescent="0.2">
      <c r="A5" s="109"/>
      <c r="B5" s="110" t="s">
        <v>6</v>
      </c>
      <c r="C5" s="112" t="s">
        <v>7</v>
      </c>
      <c r="D5" s="102" t="s">
        <v>8</v>
      </c>
      <c r="E5" s="102" t="s">
        <v>9</v>
      </c>
      <c r="F5" s="102" t="s">
        <v>10</v>
      </c>
      <c r="I5" s="26">
        <f>Project_Start-WEEKDAY(Project_Start,1)+2+7*(Display_Week-1)</f>
        <v>46055</v>
      </c>
      <c r="J5" s="26">
        <f>I5+1</f>
        <v>46056</v>
      </c>
      <c r="K5" s="26">
        <f t="shared" ref="K5:AX5" si="0">J5+1</f>
        <v>46057</v>
      </c>
      <c r="L5" s="26">
        <f t="shared" si="0"/>
        <v>46058</v>
      </c>
      <c r="M5" s="26">
        <f t="shared" si="0"/>
        <v>46059</v>
      </c>
      <c r="N5" s="26">
        <f t="shared" si="0"/>
        <v>46060</v>
      </c>
      <c r="O5" s="27">
        <f t="shared" si="0"/>
        <v>46061</v>
      </c>
      <c r="P5" s="28">
        <f>O5+1</f>
        <v>46062</v>
      </c>
      <c r="Q5" s="26">
        <f>P5+1</f>
        <v>46063</v>
      </c>
      <c r="R5" s="26">
        <f t="shared" si="0"/>
        <v>46064</v>
      </c>
      <c r="S5" s="26">
        <f t="shared" si="0"/>
        <v>46065</v>
      </c>
      <c r="T5" s="26">
        <f t="shared" si="0"/>
        <v>46066</v>
      </c>
      <c r="U5" s="26">
        <f t="shared" si="0"/>
        <v>46067</v>
      </c>
      <c r="V5" s="27">
        <f t="shared" si="0"/>
        <v>46068</v>
      </c>
      <c r="W5" s="28">
        <f>V5+1</f>
        <v>46069</v>
      </c>
      <c r="X5" s="26">
        <f>W5+1</f>
        <v>46070</v>
      </c>
      <c r="Y5" s="26">
        <f t="shared" si="0"/>
        <v>46071</v>
      </c>
      <c r="Z5" s="26">
        <f t="shared" si="0"/>
        <v>46072</v>
      </c>
      <c r="AA5" s="26">
        <f t="shared" si="0"/>
        <v>46073</v>
      </c>
      <c r="AB5" s="26">
        <f t="shared" si="0"/>
        <v>46074</v>
      </c>
      <c r="AC5" s="27">
        <f t="shared" si="0"/>
        <v>46075</v>
      </c>
      <c r="AD5" s="28">
        <f>AC5+1</f>
        <v>46076</v>
      </c>
      <c r="AE5" s="26">
        <f>AD5+1</f>
        <v>46077</v>
      </c>
      <c r="AF5" s="26">
        <f t="shared" si="0"/>
        <v>46078</v>
      </c>
      <c r="AG5" s="26">
        <f t="shared" si="0"/>
        <v>46079</v>
      </c>
      <c r="AH5" s="26">
        <f t="shared" si="0"/>
        <v>46080</v>
      </c>
      <c r="AI5" s="26">
        <f t="shared" si="0"/>
        <v>46081</v>
      </c>
      <c r="AJ5" s="27">
        <f t="shared" si="0"/>
        <v>46082</v>
      </c>
      <c r="AK5" s="28">
        <f>AJ5+1</f>
        <v>46083</v>
      </c>
      <c r="AL5" s="26">
        <f>AK5+1</f>
        <v>46084</v>
      </c>
      <c r="AM5" s="26">
        <f t="shared" si="0"/>
        <v>46085</v>
      </c>
      <c r="AN5" s="26">
        <f t="shared" si="0"/>
        <v>46086</v>
      </c>
      <c r="AO5" s="26">
        <f t="shared" si="0"/>
        <v>46087</v>
      </c>
      <c r="AP5" s="26">
        <f t="shared" si="0"/>
        <v>46088</v>
      </c>
      <c r="AQ5" s="27">
        <f t="shared" si="0"/>
        <v>46089</v>
      </c>
      <c r="AR5" s="28">
        <f>AQ5+1</f>
        <v>46090</v>
      </c>
      <c r="AS5" s="26">
        <f>AR5+1</f>
        <v>46091</v>
      </c>
      <c r="AT5" s="26">
        <f t="shared" si="0"/>
        <v>46092</v>
      </c>
      <c r="AU5" s="26">
        <f t="shared" si="0"/>
        <v>46093</v>
      </c>
      <c r="AV5" s="26">
        <f t="shared" si="0"/>
        <v>46094</v>
      </c>
      <c r="AW5" s="26">
        <f t="shared" si="0"/>
        <v>46095</v>
      </c>
      <c r="AX5" s="27">
        <f t="shared" si="0"/>
        <v>46096</v>
      </c>
      <c r="AY5" s="28">
        <f>AX5+1</f>
        <v>46097</v>
      </c>
      <c r="AZ5" s="26">
        <f>AY5+1</f>
        <v>46098</v>
      </c>
      <c r="BA5" s="26">
        <f t="shared" ref="BA5:BE5" si="1">AZ5+1</f>
        <v>46099</v>
      </c>
      <c r="BB5" s="26">
        <f t="shared" si="1"/>
        <v>46100</v>
      </c>
      <c r="BC5" s="26">
        <f t="shared" si="1"/>
        <v>46101</v>
      </c>
      <c r="BD5" s="26">
        <f t="shared" si="1"/>
        <v>46102</v>
      </c>
      <c r="BE5" s="27">
        <f t="shared" si="1"/>
        <v>46103</v>
      </c>
      <c r="BF5" s="28">
        <f>BE5+1</f>
        <v>46104</v>
      </c>
      <c r="BG5" s="26">
        <f>BF5+1</f>
        <v>46105</v>
      </c>
      <c r="BH5" s="26">
        <f t="shared" ref="BH5:BL5" si="2">BG5+1</f>
        <v>46106</v>
      </c>
      <c r="BI5" s="26">
        <f t="shared" si="2"/>
        <v>46107</v>
      </c>
      <c r="BJ5" s="26">
        <f t="shared" si="2"/>
        <v>46108</v>
      </c>
      <c r="BK5" s="26">
        <f t="shared" si="2"/>
        <v>46109</v>
      </c>
      <c r="BL5" s="26">
        <f t="shared" si="2"/>
        <v>46110</v>
      </c>
    </row>
    <row r="6" spans="1:64" s="21" customFormat="1" ht="15" customHeight="1" thickBot="1" x14ac:dyDescent="0.25">
      <c r="A6" s="109"/>
      <c r="B6" s="111"/>
      <c r="C6" s="103"/>
      <c r="D6" s="103"/>
      <c r="E6" s="103"/>
      <c r="F6" s="103"/>
      <c r="I6" s="29" t="str">
        <f t="shared" ref="I6:AN6" si="3">LEFT(TEXT(I5,"ddd"),1)</f>
        <v>M</v>
      </c>
      <c r="J6" s="30" t="str">
        <f t="shared" si="3"/>
        <v>T</v>
      </c>
      <c r="K6" s="30" t="str">
        <f t="shared" si="3"/>
        <v>W</v>
      </c>
      <c r="L6" s="30" t="str">
        <f t="shared" si="3"/>
        <v>T</v>
      </c>
      <c r="M6" s="30" t="str">
        <f t="shared" si="3"/>
        <v>F</v>
      </c>
      <c r="N6" s="30" t="str">
        <f t="shared" si="3"/>
        <v>S</v>
      </c>
      <c r="O6" s="30" t="str">
        <f t="shared" si="3"/>
        <v>S</v>
      </c>
      <c r="P6" s="30" t="str">
        <f t="shared" si="3"/>
        <v>M</v>
      </c>
      <c r="Q6" s="30" t="str">
        <f t="shared" si="3"/>
        <v>T</v>
      </c>
      <c r="R6" s="30" t="str">
        <f t="shared" si="3"/>
        <v>W</v>
      </c>
      <c r="S6" s="30" t="str">
        <f t="shared" si="3"/>
        <v>T</v>
      </c>
      <c r="T6" s="30" t="str">
        <f t="shared" si="3"/>
        <v>F</v>
      </c>
      <c r="U6" s="30" t="str">
        <f t="shared" si="3"/>
        <v>S</v>
      </c>
      <c r="V6" s="30" t="str">
        <f t="shared" si="3"/>
        <v>S</v>
      </c>
      <c r="W6" s="30" t="str">
        <f t="shared" si="3"/>
        <v>M</v>
      </c>
      <c r="X6" s="30" t="str">
        <f t="shared" si="3"/>
        <v>T</v>
      </c>
      <c r="Y6" s="30" t="str">
        <f t="shared" si="3"/>
        <v>W</v>
      </c>
      <c r="Z6" s="30" t="str">
        <f t="shared" si="3"/>
        <v>T</v>
      </c>
      <c r="AA6" s="30" t="str">
        <f t="shared" si="3"/>
        <v>F</v>
      </c>
      <c r="AB6" s="30" t="str">
        <f t="shared" si="3"/>
        <v>S</v>
      </c>
      <c r="AC6" s="30" t="str">
        <f t="shared" si="3"/>
        <v>S</v>
      </c>
      <c r="AD6" s="30" t="str">
        <f t="shared" si="3"/>
        <v>M</v>
      </c>
      <c r="AE6" s="30" t="str">
        <f t="shared" si="3"/>
        <v>T</v>
      </c>
      <c r="AF6" s="30" t="str">
        <f t="shared" si="3"/>
        <v>W</v>
      </c>
      <c r="AG6" s="30" t="str">
        <f t="shared" si="3"/>
        <v>T</v>
      </c>
      <c r="AH6" s="30" t="str">
        <f t="shared" si="3"/>
        <v>F</v>
      </c>
      <c r="AI6" s="30" t="str">
        <f t="shared" si="3"/>
        <v>S</v>
      </c>
      <c r="AJ6" s="30" t="str">
        <f t="shared" si="3"/>
        <v>S</v>
      </c>
      <c r="AK6" s="30" t="str">
        <f t="shared" si="3"/>
        <v>M</v>
      </c>
      <c r="AL6" s="30" t="str">
        <f t="shared" si="3"/>
        <v>T</v>
      </c>
      <c r="AM6" s="30" t="str">
        <f t="shared" si="3"/>
        <v>W</v>
      </c>
      <c r="AN6" s="30" t="str">
        <f t="shared" si="3"/>
        <v>T</v>
      </c>
      <c r="AO6" s="30" t="str">
        <f t="shared" ref="AO6:BL6" si="4">LEFT(TEXT(AO5,"ddd"),1)</f>
        <v>F</v>
      </c>
      <c r="AP6" s="30" t="str">
        <f t="shared" si="4"/>
        <v>S</v>
      </c>
      <c r="AQ6" s="30" t="str">
        <f t="shared" si="4"/>
        <v>S</v>
      </c>
      <c r="AR6" s="30" t="str">
        <f t="shared" si="4"/>
        <v>M</v>
      </c>
      <c r="AS6" s="30" t="str">
        <f t="shared" si="4"/>
        <v>T</v>
      </c>
      <c r="AT6" s="30" t="str">
        <f t="shared" si="4"/>
        <v>W</v>
      </c>
      <c r="AU6" s="30" t="str">
        <f t="shared" si="4"/>
        <v>T</v>
      </c>
      <c r="AV6" s="30" t="str">
        <f t="shared" si="4"/>
        <v>F</v>
      </c>
      <c r="AW6" s="30" t="str">
        <f t="shared" si="4"/>
        <v>S</v>
      </c>
      <c r="AX6" s="30" t="str">
        <f t="shared" si="4"/>
        <v>S</v>
      </c>
      <c r="AY6" s="30" t="str">
        <f t="shared" si="4"/>
        <v>M</v>
      </c>
      <c r="AZ6" s="30" t="str">
        <f t="shared" si="4"/>
        <v>T</v>
      </c>
      <c r="BA6" s="30" t="str">
        <f t="shared" si="4"/>
        <v>W</v>
      </c>
      <c r="BB6" s="30" t="str">
        <f t="shared" si="4"/>
        <v>T</v>
      </c>
      <c r="BC6" s="30" t="str">
        <f t="shared" si="4"/>
        <v>F</v>
      </c>
      <c r="BD6" s="30" t="str">
        <f t="shared" si="4"/>
        <v>S</v>
      </c>
      <c r="BE6" s="30" t="str">
        <f t="shared" si="4"/>
        <v>S</v>
      </c>
      <c r="BF6" s="30" t="str">
        <f t="shared" si="4"/>
        <v>M</v>
      </c>
      <c r="BG6" s="30" t="str">
        <f t="shared" si="4"/>
        <v>T</v>
      </c>
      <c r="BH6" s="30" t="str">
        <f t="shared" si="4"/>
        <v>W</v>
      </c>
      <c r="BI6" s="30" t="str">
        <f t="shared" si="4"/>
        <v>T</v>
      </c>
      <c r="BJ6" s="30" t="str">
        <f t="shared" si="4"/>
        <v>F</v>
      </c>
      <c r="BK6" s="30" t="str">
        <f t="shared" si="4"/>
        <v>S</v>
      </c>
      <c r="BL6" s="31" t="str">
        <f t="shared" si="4"/>
        <v>S</v>
      </c>
    </row>
    <row r="7" spans="1:64" s="21" customFormat="1" ht="30" hidden="1" customHeight="1" thickBot="1" x14ac:dyDescent="0.25">
      <c r="A7" s="13" t="s">
        <v>11</v>
      </c>
      <c r="B7" s="32"/>
      <c r="C7" s="33"/>
      <c r="D7" s="32"/>
      <c r="E7" s="32"/>
      <c r="F7" s="32"/>
      <c r="H7" s="21" t="str">
        <f>IF(OR(ISBLANK(task_start),ISBLANK(task_end)),"",task_end-task_start+1)</f>
        <v/>
      </c>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row>
    <row r="8" spans="1:64" s="41" customFormat="1" ht="30" customHeight="1" thickBot="1" x14ac:dyDescent="0.25">
      <c r="A8" s="14"/>
      <c r="B8" s="35" t="s">
        <v>12</v>
      </c>
      <c r="C8" s="36"/>
      <c r="D8" s="37"/>
      <c r="E8" s="38"/>
      <c r="F8" s="39"/>
      <c r="G8" s="17"/>
      <c r="H8" s="5" t="str">
        <f t="shared" ref="H8:H31" si="5">IF(OR(ISBLANK(task_start),ISBLANK(task_end)),"",task_end-task_start+1)</f>
        <v/>
      </c>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row>
    <row r="9" spans="1:64" s="41" customFormat="1" ht="30" customHeight="1" thickBot="1" x14ac:dyDescent="0.25">
      <c r="A9" s="14"/>
      <c r="B9" s="42" t="s">
        <v>13</v>
      </c>
      <c r="C9" s="43" t="s">
        <v>14</v>
      </c>
      <c r="D9" s="44">
        <v>1</v>
      </c>
      <c r="E9" s="45">
        <f>Project_Start+14</f>
        <v>46073</v>
      </c>
      <c r="F9" s="45">
        <f>$E$9+2</f>
        <v>46075</v>
      </c>
      <c r="G9" s="17"/>
      <c r="H9" s="5">
        <f t="shared" si="5"/>
        <v>3</v>
      </c>
      <c r="I9" s="46"/>
      <c r="J9" s="46"/>
      <c r="K9" s="46"/>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6"/>
      <c r="BC9" s="46"/>
      <c r="BD9" s="46"/>
      <c r="BE9" s="46"/>
      <c r="BF9" s="46"/>
      <c r="BG9" s="46"/>
      <c r="BH9" s="46"/>
      <c r="BI9" s="46"/>
      <c r="BJ9" s="46"/>
      <c r="BK9" s="46"/>
      <c r="BL9" s="46"/>
    </row>
    <row r="10" spans="1:64" s="41" customFormat="1" ht="30" customHeight="1" thickBot="1" x14ac:dyDescent="0.25">
      <c r="A10" s="14"/>
      <c r="B10" s="47" t="s">
        <v>15</v>
      </c>
      <c r="C10" s="48" t="s">
        <v>14</v>
      </c>
      <c r="D10" s="44">
        <v>1</v>
      </c>
      <c r="E10" s="49">
        <f>E9</f>
        <v>46073</v>
      </c>
      <c r="F10" s="45">
        <f>$E$9+2</f>
        <v>46075</v>
      </c>
      <c r="G10" s="17"/>
      <c r="H10" s="5">
        <f t="shared" si="5"/>
        <v>3</v>
      </c>
      <c r="I10" s="46"/>
      <c r="J10" s="46"/>
      <c r="K10" s="46"/>
      <c r="L10" s="46"/>
      <c r="M10" s="46"/>
      <c r="N10" s="46"/>
      <c r="O10" s="46"/>
      <c r="P10" s="46"/>
      <c r="Q10" s="46"/>
      <c r="R10" s="46"/>
      <c r="S10" s="46"/>
      <c r="T10" s="46"/>
      <c r="U10" s="50"/>
      <c r="V10" s="50"/>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c r="BA10" s="46"/>
      <c r="BB10" s="46"/>
      <c r="BC10" s="46"/>
      <c r="BD10" s="46"/>
      <c r="BE10" s="46"/>
      <c r="BF10" s="46"/>
      <c r="BG10" s="46"/>
      <c r="BH10" s="46"/>
      <c r="BI10" s="46"/>
      <c r="BJ10" s="46"/>
      <c r="BK10" s="46"/>
      <c r="BL10" s="46"/>
    </row>
    <row r="11" spans="1:64" s="41" customFormat="1" ht="30" customHeight="1" thickBot="1" x14ac:dyDescent="0.25">
      <c r="A11" s="13"/>
      <c r="B11" s="47" t="s">
        <v>16</v>
      </c>
      <c r="C11" s="48" t="s">
        <v>17</v>
      </c>
      <c r="D11" s="44">
        <v>1</v>
      </c>
      <c r="E11" s="49">
        <f>E10-2</f>
        <v>46071</v>
      </c>
      <c r="F11" s="45">
        <f>$E$9+2</f>
        <v>46075</v>
      </c>
      <c r="G11" s="17"/>
      <c r="H11" s="5">
        <f t="shared" si="5"/>
        <v>5</v>
      </c>
      <c r="I11" s="46"/>
      <c r="J11" s="46"/>
      <c r="K11" s="46"/>
      <c r="L11" s="46"/>
      <c r="M11" s="46"/>
      <c r="N11" s="46"/>
      <c r="O11" s="46"/>
      <c r="P11" s="46"/>
      <c r="Q11" s="46"/>
      <c r="R11" s="46"/>
      <c r="S11" s="46"/>
      <c r="T11" s="46"/>
      <c r="U11" s="46"/>
      <c r="V11" s="46"/>
      <c r="W11" s="46"/>
      <c r="X11" s="46"/>
      <c r="Y11" s="46"/>
      <c r="Z11" s="46"/>
      <c r="AA11" s="46"/>
      <c r="AB11" s="46"/>
      <c r="AC11" s="46"/>
      <c r="AD11" s="46"/>
      <c r="AE11" s="46"/>
      <c r="AF11" s="46"/>
      <c r="AG11" s="46"/>
      <c r="AH11" s="46"/>
      <c r="AI11" s="46"/>
      <c r="AJ11" s="46"/>
      <c r="AK11" s="46"/>
      <c r="AL11" s="46"/>
      <c r="AM11" s="46"/>
      <c r="AN11" s="46"/>
      <c r="AO11" s="46"/>
      <c r="AP11" s="46"/>
      <c r="AQ11" s="46"/>
      <c r="AR11" s="46"/>
      <c r="AS11" s="46"/>
      <c r="AT11" s="46"/>
      <c r="AU11" s="46"/>
      <c r="AV11" s="46"/>
      <c r="AW11" s="46"/>
      <c r="AX11" s="46"/>
      <c r="AY11" s="46"/>
      <c r="AZ11" s="46"/>
      <c r="BA11" s="46"/>
      <c r="BB11" s="46"/>
      <c r="BC11" s="46"/>
      <c r="BD11" s="46"/>
      <c r="BE11" s="46"/>
      <c r="BF11" s="46"/>
      <c r="BG11" s="46"/>
      <c r="BH11" s="46"/>
      <c r="BI11" s="46"/>
      <c r="BJ11" s="46"/>
      <c r="BK11" s="46"/>
      <c r="BL11" s="46"/>
    </row>
    <row r="12" spans="1:64" s="41" customFormat="1" ht="30" customHeight="1" thickBot="1" x14ac:dyDescent="0.25">
      <c r="A12" s="13"/>
      <c r="B12" s="47" t="s">
        <v>18</v>
      </c>
      <c r="C12" s="48" t="s">
        <v>14</v>
      </c>
      <c r="D12" s="44">
        <v>1</v>
      </c>
      <c r="E12" s="49">
        <f>E11+2</f>
        <v>46073</v>
      </c>
      <c r="F12" s="45">
        <f>$E$9+2</f>
        <v>46075</v>
      </c>
      <c r="G12" s="17"/>
      <c r="H12" s="5">
        <f t="shared" si="5"/>
        <v>3</v>
      </c>
      <c r="I12" s="46"/>
      <c r="J12" s="46"/>
      <c r="K12" s="46"/>
      <c r="L12" s="46"/>
      <c r="M12" s="46"/>
      <c r="N12" s="46"/>
      <c r="O12" s="46"/>
      <c r="P12" s="46"/>
      <c r="Q12" s="46"/>
      <c r="R12" s="46"/>
      <c r="S12" s="46"/>
      <c r="T12" s="46"/>
      <c r="U12" s="46"/>
      <c r="V12" s="46"/>
      <c r="W12" s="46"/>
      <c r="X12" s="46"/>
      <c r="Y12" s="50"/>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6"/>
      <c r="AX12" s="46"/>
      <c r="AY12" s="46"/>
      <c r="AZ12" s="46"/>
      <c r="BA12" s="46"/>
      <c r="BB12" s="46"/>
      <c r="BC12" s="46"/>
      <c r="BD12" s="46"/>
      <c r="BE12" s="46"/>
      <c r="BF12" s="46"/>
      <c r="BG12" s="46"/>
      <c r="BH12" s="46"/>
      <c r="BI12" s="46"/>
      <c r="BJ12" s="46"/>
      <c r="BK12" s="46"/>
      <c r="BL12" s="46"/>
    </row>
    <row r="13" spans="1:64" s="41" customFormat="1" ht="30" customHeight="1" thickBot="1" x14ac:dyDescent="0.25">
      <c r="A13" s="14"/>
      <c r="B13" s="51" t="s">
        <v>19</v>
      </c>
      <c r="C13" s="52"/>
      <c r="D13" s="53"/>
      <c r="E13" s="54"/>
      <c r="F13" s="55"/>
      <c r="G13" s="17"/>
      <c r="H13" s="5" t="str">
        <f t="shared" si="5"/>
        <v/>
      </c>
    </row>
    <row r="14" spans="1:64" s="41" customFormat="1" ht="30" customHeight="1" thickBot="1" x14ac:dyDescent="0.25">
      <c r="A14" s="14"/>
      <c r="B14" s="56" t="s">
        <v>20</v>
      </c>
      <c r="C14" s="57" t="s">
        <v>21</v>
      </c>
      <c r="D14" s="58">
        <v>1</v>
      </c>
      <c r="E14" s="59">
        <f>Project_Start</f>
        <v>46059</v>
      </c>
      <c r="F14" s="59">
        <f>E14+7</f>
        <v>46066</v>
      </c>
      <c r="G14" s="17"/>
      <c r="H14" s="5">
        <f t="shared" si="5"/>
        <v>8</v>
      </c>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6"/>
      <c r="AY14" s="46"/>
      <c r="AZ14" s="46"/>
      <c r="BA14" s="46"/>
      <c r="BB14" s="46"/>
      <c r="BC14" s="46"/>
      <c r="BD14" s="46"/>
      <c r="BE14" s="46"/>
      <c r="BF14" s="46"/>
      <c r="BG14" s="46"/>
      <c r="BH14" s="46"/>
      <c r="BI14" s="46"/>
      <c r="BJ14" s="46"/>
      <c r="BK14" s="46"/>
      <c r="BL14" s="46"/>
    </row>
    <row r="15" spans="1:64" s="41" customFormat="1" ht="30" customHeight="1" thickBot="1" x14ac:dyDescent="0.25">
      <c r="A15" s="13"/>
      <c r="B15" s="56" t="s">
        <v>22</v>
      </c>
      <c r="C15" s="57" t="s">
        <v>17</v>
      </c>
      <c r="D15" s="58">
        <v>1</v>
      </c>
      <c r="E15" s="59">
        <f>Project_Start+7</f>
        <v>46066</v>
      </c>
      <c r="F15" s="59">
        <f>E15+4</f>
        <v>46070</v>
      </c>
      <c r="G15" s="17"/>
      <c r="H15" s="5">
        <f t="shared" si="5"/>
        <v>5</v>
      </c>
      <c r="I15" s="46"/>
      <c r="J15" s="46"/>
      <c r="K15" s="46"/>
      <c r="L15" s="46"/>
      <c r="M15" s="46"/>
      <c r="N15" s="46"/>
      <c r="O15" s="46"/>
      <c r="P15" s="46"/>
      <c r="Q15" s="46"/>
      <c r="R15" s="46"/>
      <c r="S15" s="46"/>
      <c r="T15" s="46"/>
      <c r="U15" s="50"/>
      <c r="V15" s="50"/>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row>
    <row r="16" spans="1:64" s="41" customFormat="1" ht="30" customHeight="1" thickBot="1" x14ac:dyDescent="0.25">
      <c r="A16" s="13"/>
      <c r="B16" s="56"/>
      <c r="C16" s="57"/>
      <c r="D16" s="58"/>
      <c r="E16" s="59">
        <f>F15</f>
        <v>46070</v>
      </c>
      <c r="F16" s="59">
        <f>E16+3</f>
        <v>46073</v>
      </c>
      <c r="G16" s="17"/>
      <c r="H16" s="5">
        <f t="shared" si="5"/>
        <v>4</v>
      </c>
      <c r="I16" s="46"/>
      <c r="J16" s="46"/>
      <c r="K16" s="46"/>
      <c r="L16" s="46"/>
      <c r="M16" s="46"/>
      <c r="N16" s="46"/>
      <c r="O16" s="46"/>
      <c r="P16" s="46"/>
      <c r="Q16" s="46"/>
      <c r="R16" s="46"/>
      <c r="S16" s="46"/>
      <c r="T16" s="46"/>
      <c r="U16" s="46"/>
      <c r="V16" s="46"/>
      <c r="W16" s="46"/>
      <c r="X16" s="46"/>
      <c r="Y16" s="46"/>
      <c r="Z16" s="46"/>
      <c r="AA16" s="46"/>
      <c r="AB16" s="46"/>
      <c r="AC16" s="46"/>
      <c r="AD16" s="46"/>
      <c r="AE16" s="46"/>
      <c r="AF16" s="46"/>
      <c r="AG16" s="46"/>
      <c r="AH16" s="46"/>
      <c r="AI16" s="46"/>
      <c r="AJ16" s="46"/>
      <c r="AK16" s="46"/>
      <c r="AL16" s="46"/>
      <c r="AM16" s="46"/>
      <c r="AN16" s="46"/>
      <c r="AO16" s="46"/>
      <c r="AP16" s="46"/>
      <c r="AQ16" s="46"/>
      <c r="AR16" s="46"/>
      <c r="AS16" s="46"/>
      <c r="AT16" s="46"/>
      <c r="AU16" s="46"/>
      <c r="AV16" s="46"/>
      <c r="AW16" s="46"/>
      <c r="AX16" s="46"/>
      <c r="AY16" s="46"/>
      <c r="AZ16" s="46"/>
      <c r="BA16" s="46"/>
      <c r="BB16" s="46"/>
      <c r="BC16" s="46"/>
      <c r="BD16" s="46"/>
      <c r="BE16" s="46"/>
      <c r="BF16" s="46"/>
      <c r="BG16" s="46"/>
      <c r="BH16" s="46"/>
      <c r="BI16" s="46"/>
      <c r="BJ16" s="46"/>
      <c r="BK16" s="46"/>
      <c r="BL16" s="46"/>
    </row>
    <row r="17" spans="1:64" s="41" customFormat="1" ht="30" customHeight="1" thickBot="1" x14ac:dyDescent="0.25">
      <c r="A17" s="13"/>
      <c r="B17" s="60" t="s">
        <v>23</v>
      </c>
      <c r="C17" s="61"/>
      <c r="D17" s="62"/>
      <c r="E17" s="63"/>
      <c r="F17" s="64"/>
      <c r="G17" s="17"/>
      <c r="H17" s="5" t="str">
        <f t="shared" si="5"/>
        <v/>
      </c>
      <c r="I17" s="65"/>
      <c r="J17" s="65"/>
      <c r="K17" s="65"/>
      <c r="L17" s="65"/>
      <c r="M17" s="65"/>
      <c r="N17" s="65"/>
      <c r="O17" s="65"/>
      <c r="P17" s="65"/>
      <c r="Q17" s="65"/>
      <c r="R17" s="65"/>
      <c r="S17" s="65"/>
      <c r="T17" s="65"/>
      <c r="U17" s="65"/>
      <c r="V17" s="65"/>
      <c r="W17" s="65"/>
      <c r="X17" s="65"/>
      <c r="Y17" s="65"/>
      <c r="Z17" s="65"/>
      <c r="AA17" s="65"/>
      <c r="AB17" s="65"/>
      <c r="AC17" s="65"/>
      <c r="AD17" s="65"/>
      <c r="AE17" s="65"/>
      <c r="AF17" s="65"/>
      <c r="AG17" s="65"/>
      <c r="AH17" s="65"/>
      <c r="AI17" s="65"/>
      <c r="AJ17" s="65"/>
      <c r="AK17" s="65"/>
      <c r="AL17" s="65"/>
      <c r="AM17" s="65"/>
      <c r="AN17" s="65"/>
      <c r="AO17" s="65"/>
      <c r="AP17" s="65"/>
      <c r="AQ17" s="65"/>
      <c r="AR17" s="65"/>
      <c r="AS17" s="65"/>
      <c r="AT17" s="65"/>
      <c r="AU17" s="65"/>
      <c r="AV17" s="65"/>
      <c r="AW17" s="65"/>
      <c r="AX17" s="65"/>
      <c r="AY17" s="65"/>
      <c r="AZ17" s="65"/>
      <c r="BA17" s="65"/>
      <c r="BB17" s="65"/>
      <c r="BC17" s="65"/>
      <c r="BD17" s="65"/>
      <c r="BE17" s="65"/>
      <c r="BF17" s="65"/>
      <c r="BG17" s="65"/>
      <c r="BH17" s="65"/>
      <c r="BI17" s="65"/>
      <c r="BJ17" s="65"/>
      <c r="BK17" s="65"/>
      <c r="BL17" s="65"/>
    </row>
    <row r="18" spans="1:64" s="41" customFormat="1" ht="30" customHeight="1" thickBot="1" x14ac:dyDescent="0.25">
      <c r="A18" s="13"/>
      <c r="B18" s="66" t="s">
        <v>24</v>
      </c>
      <c r="C18" s="67" t="s">
        <v>14</v>
      </c>
      <c r="D18" s="68">
        <v>1</v>
      </c>
      <c r="E18" s="69">
        <f>Project_Start+7</f>
        <v>46066</v>
      </c>
      <c r="F18" s="69">
        <f>E18+11</f>
        <v>46077</v>
      </c>
      <c r="G18" s="17"/>
      <c r="H18" s="5">
        <f t="shared" si="5"/>
        <v>12</v>
      </c>
      <c r="I18" s="46"/>
      <c r="J18" s="46"/>
      <c r="K18" s="46"/>
      <c r="L18" s="46"/>
      <c r="M18" s="46"/>
      <c r="N18" s="46"/>
      <c r="O18" s="46"/>
      <c r="P18" s="46"/>
      <c r="Q18" s="46"/>
      <c r="R18" s="46"/>
      <c r="S18" s="46"/>
      <c r="T18" s="46"/>
      <c r="U18" s="46"/>
      <c r="V18" s="46"/>
      <c r="W18" s="46"/>
      <c r="X18" s="46"/>
      <c r="Y18" s="46"/>
      <c r="Z18" s="46"/>
      <c r="AA18" s="46"/>
      <c r="AB18" s="46"/>
      <c r="AC18" s="46"/>
      <c r="AD18" s="46"/>
      <c r="AE18" s="46"/>
      <c r="AF18" s="46"/>
      <c r="AG18" s="46"/>
      <c r="AH18" s="46"/>
      <c r="AI18" s="46"/>
      <c r="AJ18" s="46"/>
      <c r="AK18" s="46"/>
      <c r="AL18" s="46"/>
      <c r="AM18" s="46"/>
      <c r="AN18" s="46"/>
      <c r="AO18" s="46"/>
      <c r="AP18" s="46"/>
      <c r="AQ18" s="46"/>
      <c r="AR18" s="46"/>
      <c r="AS18" s="46"/>
      <c r="AT18" s="46"/>
      <c r="AU18" s="46"/>
      <c r="AV18" s="46"/>
      <c r="AW18" s="46"/>
      <c r="AX18" s="46"/>
      <c r="AY18" s="46"/>
      <c r="AZ18" s="46"/>
      <c r="BA18" s="46"/>
      <c r="BB18" s="46"/>
      <c r="BC18" s="46"/>
      <c r="BD18" s="46"/>
      <c r="BE18" s="46"/>
      <c r="BF18" s="46"/>
      <c r="BG18" s="46"/>
      <c r="BH18" s="46"/>
      <c r="BI18" s="46"/>
      <c r="BJ18" s="46"/>
      <c r="BK18" s="46"/>
      <c r="BL18" s="46"/>
    </row>
    <row r="19" spans="1:64" s="41" customFormat="1" ht="30" customHeight="1" thickBot="1" x14ac:dyDescent="0.25">
      <c r="A19" s="13"/>
      <c r="B19" s="66" t="s">
        <v>25</v>
      </c>
      <c r="C19" s="67" t="s">
        <v>17</v>
      </c>
      <c r="D19" s="68">
        <v>1</v>
      </c>
      <c r="E19" s="69">
        <f>Project_Start+8</f>
        <v>46067</v>
      </c>
      <c r="F19" s="69">
        <f>E19+1</f>
        <v>46068</v>
      </c>
      <c r="G19" s="17"/>
      <c r="H19" s="5">
        <f t="shared" si="5"/>
        <v>2</v>
      </c>
      <c r="I19" s="46"/>
      <c r="J19" s="46"/>
      <c r="K19" s="46"/>
      <c r="L19" s="46"/>
      <c r="M19" s="46"/>
      <c r="N19" s="46"/>
      <c r="O19" s="46"/>
      <c r="P19" s="46"/>
      <c r="Q19" s="46"/>
      <c r="R19" s="46"/>
      <c r="S19" s="46"/>
      <c r="T19" s="46"/>
      <c r="U19" s="46"/>
      <c r="V19" s="46"/>
      <c r="W19" s="46"/>
      <c r="X19" s="46"/>
      <c r="Y19" s="46"/>
      <c r="Z19" s="46"/>
      <c r="AA19" s="46"/>
      <c r="AB19" s="46"/>
      <c r="AC19" s="46"/>
      <c r="AD19" s="46"/>
      <c r="AE19" s="46"/>
      <c r="AF19" s="46"/>
      <c r="AG19" s="46"/>
      <c r="AH19" s="46"/>
      <c r="AI19" s="46"/>
      <c r="AJ19" s="46"/>
      <c r="AK19" s="46"/>
      <c r="AL19" s="46"/>
      <c r="AM19" s="46"/>
      <c r="AN19" s="46"/>
      <c r="AO19" s="46"/>
      <c r="AP19" s="46"/>
      <c r="AQ19" s="46"/>
      <c r="AR19" s="46"/>
      <c r="AS19" s="46"/>
      <c r="AT19" s="46"/>
      <c r="AU19" s="46"/>
      <c r="AV19" s="46"/>
      <c r="AW19" s="46"/>
      <c r="AX19" s="46"/>
      <c r="AY19" s="46"/>
      <c r="AZ19" s="46"/>
      <c r="BA19" s="46"/>
      <c r="BB19" s="46"/>
      <c r="BC19" s="46"/>
      <c r="BD19" s="46"/>
      <c r="BE19" s="46"/>
      <c r="BF19" s="46"/>
      <c r="BG19" s="46"/>
      <c r="BH19" s="46"/>
      <c r="BI19" s="46"/>
      <c r="BJ19" s="46"/>
      <c r="BK19" s="46"/>
      <c r="BL19" s="46"/>
    </row>
    <row r="20" spans="1:64" s="41" customFormat="1" ht="30" customHeight="1" thickBot="1" x14ac:dyDescent="0.25">
      <c r="A20" s="13"/>
      <c r="B20" s="66" t="s">
        <v>26</v>
      </c>
      <c r="C20" s="67" t="s">
        <v>17</v>
      </c>
      <c r="D20" s="68">
        <v>1</v>
      </c>
      <c r="E20" s="69">
        <f>E19</f>
        <v>46067</v>
      </c>
      <c r="F20" s="69">
        <f>E20+2</f>
        <v>46069</v>
      </c>
      <c r="G20" s="17"/>
      <c r="H20" s="5">
        <f t="shared" si="5"/>
        <v>3</v>
      </c>
      <c r="I20" s="46"/>
      <c r="J20" s="46"/>
      <c r="K20" s="46"/>
      <c r="L20" s="46"/>
      <c r="M20" s="46"/>
      <c r="N20" s="46"/>
      <c r="O20" s="46"/>
      <c r="P20" s="46"/>
      <c r="Q20" s="46"/>
      <c r="R20" s="46"/>
      <c r="S20" s="46"/>
      <c r="T20" s="46"/>
      <c r="U20" s="46"/>
      <c r="V20" s="46"/>
      <c r="W20" s="46"/>
      <c r="X20" s="46"/>
      <c r="Y20" s="46"/>
      <c r="Z20" s="46"/>
      <c r="AA20" s="46"/>
      <c r="AB20" s="46"/>
      <c r="AC20" s="46"/>
      <c r="AD20" s="46"/>
      <c r="AE20" s="46"/>
      <c r="AF20" s="46"/>
      <c r="AG20" s="46"/>
      <c r="AH20" s="46"/>
      <c r="AI20" s="46"/>
      <c r="AJ20" s="46"/>
      <c r="AK20" s="46"/>
      <c r="AL20" s="46"/>
      <c r="AM20" s="46"/>
      <c r="AN20" s="46"/>
      <c r="AO20" s="46"/>
      <c r="AP20" s="46"/>
      <c r="AQ20" s="46"/>
      <c r="AR20" s="46"/>
      <c r="AS20" s="46"/>
      <c r="AT20" s="46"/>
      <c r="AU20" s="46"/>
      <c r="AV20" s="46"/>
      <c r="AW20" s="46"/>
      <c r="AX20" s="46"/>
      <c r="AY20" s="46"/>
      <c r="AZ20" s="46"/>
      <c r="BA20" s="46"/>
      <c r="BB20" s="46"/>
      <c r="BC20" s="46"/>
      <c r="BD20" s="46"/>
      <c r="BE20" s="46"/>
      <c r="BF20" s="46"/>
      <c r="BG20" s="46"/>
      <c r="BH20" s="46"/>
      <c r="BI20" s="46"/>
      <c r="BJ20" s="46"/>
      <c r="BK20" s="46"/>
      <c r="BL20" s="46"/>
    </row>
    <row r="21" spans="1:64" s="41" customFormat="1" ht="30" customHeight="1" thickBot="1" x14ac:dyDescent="0.25">
      <c r="A21" s="13"/>
      <c r="B21" s="66" t="s">
        <v>27</v>
      </c>
      <c r="C21" s="67" t="s">
        <v>17</v>
      </c>
      <c r="D21" s="68">
        <v>1</v>
      </c>
      <c r="E21" s="69">
        <f>E20+2</f>
        <v>46069</v>
      </c>
      <c r="F21" s="69">
        <f>E21+1</f>
        <v>46070</v>
      </c>
      <c r="G21" s="17"/>
      <c r="H21" s="5"/>
      <c r="I21" s="46"/>
      <c r="J21" s="46"/>
      <c r="K21" s="46"/>
      <c r="L21" s="46"/>
      <c r="M21" s="46"/>
      <c r="N21" s="46"/>
      <c r="O21" s="46"/>
      <c r="P21" s="46"/>
      <c r="Q21" s="46"/>
      <c r="R21" s="46"/>
      <c r="S21" s="46"/>
      <c r="T21" s="46"/>
      <c r="U21" s="46"/>
      <c r="V21" s="46"/>
      <c r="W21" s="46"/>
      <c r="X21" s="46"/>
      <c r="Y21" s="46"/>
      <c r="Z21" s="46"/>
      <c r="AA21" s="46"/>
      <c r="AB21" s="46"/>
      <c r="AC21" s="46"/>
      <c r="AD21" s="46"/>
      <c r="AE21" s="46"/>
      <c r="AF21" s="46"/>
      <c r="AG21" s="46"/>
      <c r="AH21" s="46"/>
      <c r="AI21" s="46"/>
      <c r="AJ21" s="46"/>
      <c r="AK21" s="46"/>
      <c r="AL21" s="46"/>
      <c r="AM21" s="46"/>
      <c r="AN21" s="46"/>
      <c r="AO21" s="46"/>
      <c r="AP21" s="46"/>
      <c r="AQ21" s="46"/>
      <c r="AR21" s="46"/>
      <c r="AS21" s="46"/>
      <c r="AT21" s="46"/>
      <c r="AU21" s="46"/>
      <c r="AV21" s="46"/>
      <c r="AW21" s="46"/>
      <c r="AX21" s="46"/>
      <c r="AY21" s="46"/>
      <c r="AZ21" s="46"/>
      <c r="BA21" s="46"/>
      <c r="BB21" s="46"/>
      <c r="BC21" s="46"/>
      <c r="BD21" s="46"/>
      <c r="BE21" s="46"/>
      <c r="BF21" s="46"/>
      <c r="BG21" s="46"/>
      <c r="BH21" s="46"/>
      <c r="BI21" s="46"/>
      <c r="BJ21" s="46"/>
      <c r="BK21" s="46"/>
      <c r="BL21" s="46"/>
    </row>
    <row r="22" spans="1:64" s="41" customFormat="1" ht="30" customHeight="1" thickBot="1" x14ac:dyDescent="0.25">
      <c r="A22" s="13"/>
      <c r="B22" s="66" t="s">
        <v>28</v>
      </c>
      <c r="C22" s="67" t="s">
        <v>14</v>
      </c>
      <c r="D22" s="68">
        <v>1</v>
      </c>
      <c r="E22" s="69">
        <f>F20</f>
        <v>46069</v>
      </c>
      <c r="F22" s="69">
        <f>E22+2</f>
        <v>46071</v>
      </c>
      <c r="G22" s="17"/>
      <c r="H22" s="5">
        <f t="shared" si="5"/>
        <v>3</v>
      </c>
      <c r="I22" s="46"/>
      <c r="J22" s="46"/>
      <c r="K22" s="46"/>
      <c r="L22" s="46"/>
      <c r="M22" s="46"/>
      <c r="N22" s="46"/>
      <c r="O22" s="46"/>
      <c r="P22" s="46"/>
      <c r="Q22" s="46"/>
      <c r="R22" s="46"/>
      <c r="S22" s="46"/>
      <c r="T22" s="46"/>
      <c r="U22" s="46"/>
      <c r="V22" s="46"/>
      <c r="W22" s="46"/>
      <c r="X22" s="46"/>
      <c r="Y22" s="46"/>
      <c r="Z22" s="46"/>
      <c r="AA22" s="46"/>
      <c r="AB22" s="46"/>
      <c r="AC22" s="46"/>
      <c r="AD22" s="46"/>
      <c r="AE22" s="46"/>
      <c r="AF22" s="46"/>
      <c r="AG22" s="46"/>
      <c r="AH22" s="46"/>
      <c r="AI22" s="46"/>
      <c r="AJ22" s="46"/>
      <c r="AK22" s="46"/>
      <c r="AL22" s="46"/>
      <c r="AM22" s="46"/>
      <c r="AN22" s="46"/>
      <c r="AO22" s="46"/>
      <c r="AP22" s="46"/>
      <c r="AQ22" s="46"/>
      <c r="AR22" s="46"/>
      <c r="AS22" s="46"/>
      <c r="AT22" s="46"/>
      <c r="AU22" s="46"/>
      <c r="AV22" s="46"/>
      <c r="AW22" s="46"/>
      <c r="AX22" s="46"/>
      <c r="AY22" s="46"/>
      <c r="AZ22" s="46"/>
      <c r="BA22" s="46"/>
      <c r="BB22" s="46"/>
      <c r="BC22" s="46"/>
      <c r="BD22" s="46"/>
      <c r="BE22" s="46"/>
      <c r="BF22" s="46"/>
      <c r="BG22" s="46"/>
      <c r="BH22" s="46"/>
      <c r="BI22" s="46"/>
      <c r="BJ22" s="46"/>
      <c r="BK22" s="46"/>
      <c r="BL22" s="46"/>
    </row>
    <row r="23" spans="1:64" s="41" customFormat="1" ht="30" customHeight="1" thickBot="1" x14ac:dyDescent="0.25">
      <c r="A23" s="13"/>
      <c r="B23" s="66" t="s">
        <v>29</v>
      </c>
      <c r="C23" s="67" t="s">
        <v>17</v>
      </c>
      <c r="D23" s="68">
        <v>1</v>
      </c>
      <c r="E23" s="69">
        <f>F22</f>
        <v>46071</v>
      </c>
      <c r="F23" s="69">
        <f>E23</f>
        <v>46071</v>
      </c>
      <c r="G23" s="17"/>
      <c r="H23" s="5">
        <f t="shared" si="5"/>
        <v>1</v>
      </c>
      <c r="I23" s="46"/>
      <c r="J23" s="46"/>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row>
    <row r="24" spans="1:64" s="41" customFormat="1" ht="30" customHeight="1" thickBot="1" x14ac:dyDescent="0.25">
      <c r="A24" s="13"/>
      <c r="B24" s="70" t="s">
        <v>30</v>
      </c>
      <c r="C24" s="71"/>
      <c r="D24" s="72"/>
      <c r="E24" s="73"/>
      <c r="F24" s="74"/>
      <c r="G24" s="17"/>
      <c r="H24" s="5" t="str">
        <f t="shared" si="5"/>
        <v/>
      </c>
      <c r="I24" s="75"/>
      <c r="J24" s="75"/>
      <c r="K24" s="75"/>
      <c r="L24" s="75"/>
      <c r="M24" s="75"/>
      <c r="N24" s="75"/>
      <c r="O24" s="75"/>
      <c r="P24" s="75"/>
      <c r="Q24" s="75"/>
      <c r="R24" s="75"/>
      <c r="S24" s="75"/>
      <c r="T24" s="75"/>
      <c r="U24" s="75"/>
      <c r="V24" s="75"/>
      <c r="W24" s="75"/>
      <c r="X24" s="75"/>
      <c r="Y24" s="75"/>
      <c r="Z24" s="75"/>
      <c r="AA24" s="75"/>
      <c r="AB24" s="75"/>
      <c r="AC24" s="75"/>
      <c r="AD24" s="75"/>
      <c r="AE24" s="75"/>
      <c r="AF24" s="75"/>
      <c r="AG24" s="75"/>
      <c r="AH24" s="75"/>
      <c r="AI24" s="75"/>
      <c r="AJ24" s="75"/>
      <c r="AK24" s="75"/>
      <c r="AL24" s="75"/>
      <c r="AM24" s="75"/>
      <c r="AN24" s="75"/>
      <c r="AO24" s="75"/>
      <c r="AP24" s="75"/>
      <c r="AQ24" s="75"/>
      <c r="AR24" s="75"/>
      <c r="AS24" s="75"/>
      <c r="AT24" s="75"/>
      <c r="AU24" s="75"/>
      <c r="AV24" s="75"/>
      <c r="AW24" s="75"/>
      <c r="AX24" s="75"/>
      <c r="AY24" s="75"/>
      <c r="AZ24" s="75"/>
      <c r="BA24" s="75"/>
      <c r="BB24" s="75"/>
      <c r="BC24" s="75"/>
      <c r="BD24" s="75"/>
      <c r="BE24" s="75"/>
      <c r="BF24" s="75"/>
      <c r="BG24" s="75"/>
      <c r="BH24" s="75"/>
      <c r="BI24" s="75"/>
      <c r="BJ24" s="75"/>
      <c r="BK24" s="75"/>
      <c r="BL24" s="75"/>
    </row>
    <row r="25" spans="1:64" s="41" customFormat="1" ht="30" customHeight="1" thickBot="1" x14ac:dyDescent="0.25">
      <c r="A25" s="13"/>
      <c r="B25" s="76" t="s">
        <v>30</v>
      </c>
      <c r="C25" s="77" t="s">
        <v>31</v>
      </c>
      <c r="D25" s="78">
        <v>1</v>
      </c>
      <c r="E25" s="79">
        <f>Project_Start+12</f>
        <v>46071</v>
      </c>
      <c r="F25" s="79">
        <f>E25+6</f>
        <v>46077</v>
      </c>
      <c r="G25" s="17"/>
      <c r="H25" s="5">
        <f t="shared" si="5"/>
        <v>7</v>
      </c>
      <c r="I25" s="46"/>
      <c r="J25" s="46"/>
      <c r="K25" s="46"/>
      <c r="L25" s="46"/>
      <c r="M25" s="46"/>
      <c r="N25" s="46"/>
      <c r="O25" s="46"/>
      <c r="P25" s="46"/>
      <c r="Q25" s="46"/>
      <c r="R25" s="46"/>
      <c r="S25" s="46"/>
      <c r="T25" s="46"/>
      <c r="U25" s="46"/>
      <c r="V25" s="46"/>
      <c r="W25" s="46"/>
      <c r="X25" s="46"/>
      <c r="Y25" s="46"/>
      <c r="Z25" s="46"/>
      <c r="AA25" s="46"/>
      <c r="AB25" s="46"/>
      <c r="AC25" s="46"/>
      <c r="AD25" s="46"/>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row>
    <row r="26" spans="1:64" s="41" customFormat="1" ht="30" customHeight="1" thickBot="1" x14ac:dyDescent="0.25">
      <c r="A26" s="13"/>
      <c r="B26" s="76" t="s">
        <v>32</v>
      </c>
      <c r="C26" s="77" t="s">
        <v>17</v>
      </c>
      <c r="D26" s="78">
        <v>1</v>
      </c>
      <c r="E26" s="79">
        <f>Project_Start+12</f>
        <v>46071</v>
      </c>
      <c r="F26" s="79">
        <f>E26+2</f>
        <v>46073</v>
      </c>
      <c r="G26" s="17"/>
      <c r="H26" s="5">
        <f t="shared" si="5"/>
        <v>3</v>
      </c>
      <c r="I26" s="46"/>
      <c r="J26" s="46"/>
      <c r="K26" s="46"/>
      <c r="L26" s="46"/>
      <c r="M26" s="46"/>
      <c r="N26" s="46"/>
      <c r="O26" s="46"/>
      <c r="P26" s="46"/>
      <c r="Q26" s="46"/>
      <c r="R26" s="46"/>
      <c r="S26" s="46"/>
      <c r="T26" s="46"/>
      <c r="U26" s="46"/>
      <c r="V26" s="46"/>
      <c r="W26" s="46"/>
      <c r="X26" s="46"/>
      <c r="Y26" s="46"/>
      <c r="Z26" s="46"/>
      <c r="AA26" s="46"/>
      <c r="AB26" s="46"/>
      <c r="AC26" s="46"/>
      <c r="AD26" s="46"/>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row>
    <row r="27" spans="1:64" s="41" customFormat="1" ht="30" customHeight="1" thickBot="1" x14ac:dyDescent="0.25">
      <c r="A27" s="13"/>
      <c r="B27" s="76" t="s">
        <v>33</v>
      </c>
      <c r="C27" s="77" t="s">
        <v>14</v>
      </c>
      <c r="D27" s="78">
        <v>1</v>
      </c>
      <c r="E27" s="79">
        <f>Project_Start+13</f>
        <v>46072</v>
      </c>
      <c r="F27" s="79">
        <f>E27+2</f>
        <v>46074</v>
      </c>
      <c r="G27" s="17"/>
      <c r="H27" s="5">
        <f t="shared" si="5"/>
        <v>3</v>
      </c>
      <c r="I27" s="46"/>
      <c r="J27" s="46"/>
      <c r="K27" s="46"/>
      <c r="L27" s="46"/>
      <c r="M27" s="46"/>
      <c r="N27" s="46"/>
      <c r="O27" s="46"/>
      <c r="P27" s="46"/>
      <c r="Q27" s="46"/>
      <c r="R27" s="46"/>
      <c r="S27" s="46"/>
      <c r="T27" s="46"/>
      <c r="U27" s="46"/>
      <c r="V27" s="46"/>
      <c r="W27" s="46"/>
      <c r="X27" s="46"/>
      <c r="Y27" s="46"/>
      <c r="Z27" s="46"/>
      <c r="AA27" s="46"/>
      <c r="AB27" s="46"/>
      <c r="AC27" s="46"/>
      <c r="AD27" s="46"/>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row>
    <row r="28" spans="1:64" s="41" customFormat="1" ht="30" customHeight="1" thickBot="1" x14ac:dyDescent="0.25">
      <c r="A28" s="13"/>
      <c r="B28" s="76" t="s">
        <v>34</v>
      </c>
      <c r="C28" s="77" t="s">
        <v>14</v>
      </c>
      <c r="D28" s="78">
        <v>1</v>
      </c>
      <c r="E28" s="79">
        <f>Project_Start+13</f>
        <v>46072</v>
      </c>
      <c r="F28" s="79">
        <f>E28+3</f>
        <v>46075</v>
      </c>
      <c r="G28" s="17"/>
      <c r="H28" s="5">
        <f t="shared" si="5"/>
        <v>4</v>
      </c>
      <c r="I28" s="46"/>
      <c r="J28" s="46"/>
      <c r="K28" s="46"/>
      <c r="L28" s="46"/>
      <c r="M28" s="46"/>
      <c r="N28" s="46"/>
      <c r="O28" s="46"/>
      <c r="P28" s="46"/>
      <c r="Q28" s="46"/>
      <c r="R28" s="46"/>
      <c r="S28" s="46"/>
      <c r="T28" s="46"/>
      <c r="U28" s="46"/>
      <c r="V28" s="46"/>
      <c r="W28" s="46"/>
      <c r="X28" s="46"/>
      <c r="Y28" s="46"/>
      <c r="Z28" s="46"/>
      <c r="AA28" s="46"/>
      <c r="AB28" s="46"/>
      <c r="AC28" s="46"/>
      <c r="AD28" s="46"/>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row>
    <row r="29" spans="1:64" s="41" customFormat="1" ht="30" customHeight="1" thickBot="1" x14ac:dyDescent="0.25">
      <c r="A29" s="13"/>
      <c r="B29" s="76" t="s">
        <v>35</v>
      </c>
      <c r="C29" s="77" t="s">
        <v>14</v>
      </c>
      <c r="D29" s="78">
        <v>1</v>
      </c>
      <c r="E29" s="79">
        <f>Project_Start+16</f>
        <v>46075</v>
      </c>
      <c r="F29" s="79">
        <f>E29+1</f>
        <v>46076</v>
      </c>
      <c r="G29" s="17"/>
      <c r="H29" s="5">
        <f t="shared" si="5"/>
        <v>2</v>
      </c>
      <c r="I29" s="46"/>
      <c r="J29" s="46"/>
      <c r="K29" s="46"/>
      <c r="L29" s="46"/>
      <c r="M29" s="46"/>
      <c r="N29" s="46"/>
      <c r="O29" s="46"/>
      <c r="P29" s="46"/>
      <c r="Q29" s="46"/>
      <c r="R29" s="46"/>
      <c r="S29" s="46"/>
      <c r="T29" s="46"/>
      <c r="U29" s="46"/>
      <c r="V29" s="46"/>
      <c r="W29" s="46"/>
      <c r="X29" s="46"/>
      <c r="Y29" s="46"/>
      <c r="Z29" s="46"/>
      <c r="AA29" s="46"/>
      <c r="AB29" s="46"/>
      <c r="AC29" s="46"/>
      <c r="AD29" s="46"/>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row>
    <row r="30" spans="1:64" s="41" customFormat="1" ht="30" customHeight="1" thickBot="1" x14ac:dyDescent="0.25">
      <c r="A30" s="13"/>
      <c r="B30" s="80"/>
      <c r="C30" s="81"/>
      <c r="D30" s="82"/>
      <c r="E30" s="83"/>
      <c r="F30" s="83"/>
      <c r="G30" s="17"/>
      <c r="H30" s="5" t="str">
        <f t="shared" si="5"/>
        <v/>
      </c>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s="40"/>
      <c r="BE30" s="40"/>
      <c r="BF30" s="40"/>
      <c r="BG30" s="40"/>
      <c r="BH30" s="40"/>
      <c r="BI30" s="40"/>
      <c r="BJ30" s="40"/>
      <c r="BK30" s="40"/>
      <c r="BL30" s="40"/>
    </row>
    <row r="31" spans="1:64" s="41" customFormat="1" ht="30" customHeight="1" thickBot="1" x14ac:dyDescent="0.25">
      <c r="A31" s="14"/>
      <c r="B31" s="84" t="s">
        <v>36</v>
      </c>
      <c r="C31" s="85"/>
      <c r="D31" s="86"/>
      <c r="E31" s="87"/>
      <c r="F31" s="88"/>
      <c r="G31" s="17"/>
      <c r="H31" s="6" t="str">
        <f t="shared" si="5"/>
        <v/>
      </c>
      <c r="I31" s="89"/>
      <c r="J31" s="89"/>
      <c r="K31" s="89"/>
      <c r="L31" s="89"/>
      <c r="M31" s="89"/>
      <c r="N31" s="89"/>
      <c r="O31" s="89"/>
      <c r="P31" s="89"/>
      <c r="Q31" s="89"/>
      <c r="R31" s="89"/>
      <c r="S31" s="89"/>
      <c r="T31" s="89"/>
      <c r="U31" s="89"/>
      <c r="V31" s="89"/>
      <c r="W31" s="89"/>
      <c r="X31" s="89"/>
      <c r="Y31" s="89"/>
      <c r="Z31" s="89"/>
      <c r="AA31" s="89"/>
      <c r="AB31" s="89"/>
      <c r="AC31" s="89"/>
      <c r="AD31" s="89"/>
      <c r="AE31" s="89"/>
      <c r="AF31" s="89"/>
      <c r="AG31" s="89"/>
      <c r="AH31" s="89"/>
      <c r="AI31" s="89"/>
      <c r="AJ31" s="89"/>
      <c r="AK31" s="89"/>
      <c r="AL31" s="89"/>
      <c r="AM31" s="89"/>
      <c r="AN31" s="89"/>
      <c r="AO31" s="89"/>
      <c r="AP31" s="89"/>
      <c r="AQ31" s="89"/>
      <c r="AR31" s="89"/>
      <c r="AS31" s="89"/>
      <c r="AT31" s="89"/>
      <c r="AU31" s="89"/>
      <c r="AV31" s="89"/>
      <c r="AW31" s="89"/>
      <c r="AX31" s="89"/>
      <c r="AY31" s="89"/>
      <c r="AZ31" s="89"/>
      <c r="BA31" s="89"/>
      <c r="BB31" s="89"/>
      <c r="BC31" s="89"/>
      <c r="BD31" s="89"/>
      <c r="BE31" s="89"/>
      <c r="BF31" s="89"/>
      <c r="BG31" s="89"/>
      <c r="BH31" s="89"/>
      <c r="BI31" s="89"/>
      <c r="BJ31" s="89"/>
      <c r="BK31" s="89"/>
      <c r="BL31" s="89"/>
    </row>
    <row r="32" spans="1:64" ht="30" customHeight="1" x14ac:dyDescent="0.2">
      <c r="G32" s="3"/>
    </row>
    <row r="33" spans="3:6" ht="30" customHeight="1" x14ac:dyDescent="0.25">
      <c r="C33" s="16"/>
      <c r="F33" s="15"/>
    </row>
    <row r="34" spans="3:6" ht="30" customHeight="1" x14ac:dyDescent="0.2">
      <c r="C34" s="4"/>
    </row>
  </sheetData>
  <mergeCells count="20">
    <mergeCell ref="A5:A6"/>
    <mergeCell ref="B5:B6"/>
    <mergeCell ref="C5:C6"/>
    <mergeCell ref="D5:D6"/>
    <mergeCell ref="E5:E6"/>
    <mergeCell ref="F5:F6"/>
    <mergeCell ref="Q2:Z2"/>
    <mergeCell ref="Q1:Z1"/>
    <mergeCell ref="I1:O1"/>
    <mergeCell ref="I2:O2"/>
    <mergeCell ref="B2:E2"/>
    <mergeCell ref="B1:F1"/>
    <mergeCell ref="BF4:BL4"/>
    <mergeCell ref="I4:O4"/>
    <mergeCell ref="P4:V4"/>
    <mergeCell ref="W4:AC4"/>
    <mergeCell ref="AD4:AJ4"/>
    <mergeCell ref="AK4:AQ4"/>
    <mergeCell ref="AR4:AX4"/>
    <mergeCell ref="AY4:BE4"/>
  </mergeCells>
  <conditionalFormatting sqref="D7:D31">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29">
    <cfRule type="expression" dxfId="8" priority="1">
      <formula>AND(TODAY()&gt;=I$5, TODAY()&lt;J$5)</formula>
    </cfRule>
  </conditionalFormatting>
  <conditionalFormatting sqref="I9:BL12">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4:BL16">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18:BL23">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5:BL29">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3" xr:uid="{4F48FC41-E335-47F1-87AA-3333A52AD81C}"/>
    <dataValidation allowBlank="1" showInputMessage="1" showErrorMessage="1" prompt="Phase 3's sample block starts in cell B20." sqref="A17" xr:uid="{956902D1-D3B5-416D-BB69-9362D193BC0A}"/>
    <dataValidation allowBlank="1" showInputMessage="1" showErrorMessage="1" prompt="Phase 4's sample block starts in cell B26." sqref="A24"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1"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2.75" x14ac:dyDescent="0.2"/>
  <cols>
    <col min="1" max="1" width="87" style="7" customWidth="1"/>
    <col min="2" max="16384" width="9" style="1"/>
  </cols>
  <sheetData>
    <row r="1" spans="1:2" ht="46.5" customHeight="1" x14ac:dyDescent="0.2"/>
    <row r="2" spans="1:2" s="9" customFormat="1" ht="15.75" x14ac:dyDescent="0.2">
      <c r="A2" s="90" t="s">
        <v>4</v>
      </c>
      <c r="B2" s="8"/>
    </row>
    <row r="3" spans="1:2" s="11" customFormat="1" ht="27" customHeight="1" x14ac:dyDescent="0.2">
      <c r="A3" s="91"/>
      <c r="B3" s="12"/>
    </row>
    <row r="4" spans="1:2" s="10" customFormat="1" ht="31.5" x14ac:dyDescent="0.6">
      <c r="A4" s="92" t="s">
        <v>37</v>
      </c>
    </row>
    <row r="5" spans="1:2" ht="74.25" customHeight="1" x14ac:dyDescent="0.2">
      <c r="A5" s="93" t="s">
        <v>38</v>
      </c>
    </row>
    <row r="6" spans="1:2" ht="26.25" customHeight="1" x14ac:dyDescent="0.2">
      <c r="A6" s="92" t="s">
        <v>39</v>
      </c>
    </row>
    <row r="7" spans="1:2" s="7" customFormat="1" ht="205.15" customHeight="1" x14ac:dyDescent="0.2">
      <c r="A7" s="94" t="s">
        <v>40</v>
      </c>
    </row>
    <row r="8" spans="1:2" s="10" customFormat="1" ht="31.5" x14ac:dyDescent="0.6">
      <c r="A8" s="92" t="s">
        <v>41</v>
      </c>
    </row>
    <row r="9" spans="1:2" ht="57" x14ac:dyDescent="0.2">
      <c r="A9" s="93" t="s">
        <v>42</v>
      </c>
    </row>
    <row r="10" spans="1:2" s="7" customFormat="1" ht="28.15" customHeight="1" x14ac:dyDescent="0.2">
      <c r="A10" s="95" t="s">
        <v>43</v>
      </c>
    </row>
    <row r="11" spans="1:2" s="10" customFormat="1" ht="31.5" x14ac:dyDescent="0.6">
      <c r="A11" s="92" t="s">
        <v>44</v>
      </c>
    </row>
    <row r="12" spans="1:2" ht="28.5" x14ac:dyDescent="0.2">
      <c r="A12" s="93" t="s">
        <v>45</v>
      </c>
    </row>
    <row r="13" spans="1:2" s="7" customFormat="1" ht="28.15" customHeight="1" x14ac:dyDescent="0.2">
      <c r="A13" s="95" t="s">
        <v>46</v>
      </c>
    </row>
    <row r="14" spans="1:2" s="10" customFormat="1" ht="31.5" x14ac:dyDescent="0.6">
      <c r="A14" s="92" t="s">
        <v>47</v>
      </c>
    </row>
    <row r="15" spans="1:2" ht="75" customHeight="1" x14ac:dyDescent="0.2">
      <c r="A15" s="93" t="s">
        <v>48</v>
      </c>
    </row>
    <row r="16" spans="1:2" ht="71.25" x14ac:dyDescent="0.2">
      <c r="A16" s="93" t="s">
        <v>49</v>
      </c>
    </row>
    <row r="17" spans="1:1" x14ac:dyDescent="0.2">
      <c r="A17" s="96"/>
    </row>
    <row r="18" spans="1:1" x14ac:dyDescent="0.2">
      <c r="A18" s="96"/>
    </row>
    <row r="19" spans="1:1" x14ac:dyDescent="0.2">
      <c r="A19" s="96"/>
    </row>
    <row r="20" spans="1:1" x14ac:dyDescent="0.2">
      <c r="A20" s="96"/>
    </row>
    <row r="21" spans="1:1" x14ac:dyDescent="0.2">
      <c r="A21" s="96"/>
    </row>
    <row r="22" spans="1:1" x14ac:dyDescent="0.2">
      <c r="A22" s="96"/>
    </row>
    <row r="23" spans="1:1" x14ac:dyDescent="0.2">
      <c r="A23" s="96"/>
    </row>
    <row r="24" spans="1:1" x14ac:dyDescent="0.2">
      <c r="A24" s="96"/>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96DD1FC206C7E4C8297AEA9970FAC90" ma:contentTypeVersion="9" ma:contentTypeDescription="Create a new document." ma:contentTypeScope="" ma:versionID="0425ae36fc700804f7c8bb8e418567e0">
  <xsd:schema xmlns:xsd="http://www.w3.org/2001/XMLSchema" xmlns:xs="http://www.w3.org/2001/XMLSchema" xmlns:p="http://schemas.microsoft.com/office/2006/metadata/properties" xmlns:ns3="d94ee4e4-02cb-4da0-9dbe-ce518434d583" targetNamespace="http://schemas.microsoft.com/office/2006/metadata/properties" ma:root="true" ma:fieldsID="044fdc2529262e4a9806149a76cfaf04" ns3:_="">
    <xsd:import namespace="d94ee4e4-02cb-4da0-9dbe-ce518434d583"/>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4ee4e4-02cb-4da0-9dbe-ce518434d58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d94ee4e4-02cb-4da0-9dbe-ce518434d583" xsi:nil="true"/>
  </documentManagement>
</p:properties>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1CBD4C02-554B-4D0B-B979-B19373D764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4ee4e4-02cb-4da0-9dbe-ce518434d5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 ds:uri="d94ee4e4-02cb-4da0-9dbe-ce518434d583"/>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Bryce Ripley</dc:creator>
  <cp:keywords/>
  <dc:description/>
  <cp:lastModifiedBy>Brock Hoover</cp:lastModifiedBy>
  <cp:revision/>
  <dcterms:created xsi:type="dcterms:W3CDTF">2022-03-11T22:41:12Z</dcterms:created>
  <dcterms:modified xsi:type="dcterms:W3CDTF">2026-02-24T21:21:44Z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0x010100496DD1FC206C7E4C8297AEA9970FAC90</vt:lpwstr>
  </property>
  <property fmtid="{D5CDD505-2E9C-101B-9397-08002B2CF9AE}" pid="3" name="MediaServiceImageTags">
    <vt:lpwstr/>
  </property>
</Properties>
</file>